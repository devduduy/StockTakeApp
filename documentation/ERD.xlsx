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MOBILE_WORKSPACE\StockTake\documentation\"/>
    </mc:Choice>
  </mc:AlternateContent>
  <xr:revisionPtr revIDLastSave="0" documentId="13_ncr:1_{2ED838AA-20EC-4ADF-9ABB-F9193DAB6E4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9" i="2" l="1"/>
  <c r="P18" i="2"/>
  <c r="P17" i="2"/>
  <c r="P16" i="2"/>
  <c r="M16" i="2"/>
  <c r="K19" i="2"/>
  <c r="K18" i="2"/>
  <c r="K17" i="2"/>
  <c r="K16" i="2"/>
  <c r="H23" i="2"/>
  <c r="H22" i="2"/>
  <c r="H21" i="2"/>
  <c r="H20" i="2"/>
  <c r="H19" i="2"/>
  <c r="H18" i="2"/>
  <c r="H17" i="2"/>
  <c r="H16" i="2"/>
</calcChain>
</file>

<file path=xl/sharedStrings.xml><?xml version="1.0" encoding="utf-8"?>
<sst xmlns="http://schemas.openxmlformats.org/spreadsheetml/2006/main" count="201" uniqueCount="103">
  <si>
    <t>PLU</t>
  </si>
  <si>
    <t>PLU_DESCRIPTION</t>
  </si>
  <si>
    <t>LOC_CODE</t>
  </si>
  <si>
    <t>BARCODE</t>
  </si>
  <si>
    <t>RACK_NO</t>
  </si>
  <si>
    <t>TR_STOCK_SCHEDULE</t>
  </si>
  <si>
    <t>STOCK_DATE</t>
  </si>
  <si>
    <t>STOCK_ID</t>
  </si>
  <si>
    <t>STOCK_DESC</t>
  </si>
  <si>
    <t>ID</t>
  </si>
  <si>
    <t>SCAN_TIME</t>
  </si>
  <si>
    <t>RACK_SEQ</t>
  </si>
  <si>
    <t>SCAN_USER</t>
  </si>
  <si>
    <t>SCAN_QTY</t>
  </si>
  <si>
    <t>CHECK_QTY</t>
  </si>
  <si>
    <t>CHECK_TIME</t>
  </si>
  <si>
    <t>CHECK_USER</t>
  </si>
  <si>
    <t>PRINT_TIME</t>
  </si>
  <si>
    <t>PRINT_NO</t>
  </si>
  <si>
    <t>FINAL_QTY</t>
  </si>
  <si>
    <t>CONFIRM_TIME</t>
  </si>
  <si>
    <t>CONFIRM_USER</t>
  </si>
  <si>
    <t>STOCK_DIV</t>
  </si>
  <si>
    <t>STOCK_DEP</t>
  </si>
  <si>
    <t>STOCK_CAT</t>
  </si>
  <si>
    <t>STOCK_PLU</t>
  </si>
  <si>
    <t>STOCK_ALL</t>
  </si>
  <si>
    <t>STOCK_NO</t>
  </si>
  <si>
    <t>STOCK_TYPE</t>
  </si>
  <si>
    <t>000001</t>
  </si>
  <si>
    <t>opn_6168_fresh</t>
  </si>
  <si>
    <t>STOCK OPNAME FRESH BINTARO TANGGAL 31 JULI</t>
  </si>
  <si>
    <t>31-07-2026</t>
  </si>
  <si>
    <t>N</t>
  </si>
  <si>
    <t>000002</t>
  </si>
  <si>
    <t>TYPE_CODE</t>
  </si>
  <si>
    <t>AA/001/01</t>
  </si>
  <si>
    <t>IVAN</t>
  </si>
  <si>
    <t>AA/001/02</t>
  </si>
  <si>
    <t>AA/001/03</t>
  </si>
  <si>
    <t>AA/001/05</t>
  </si>
  <si>
    <t>Y</t>
  </si>
  <si>
    <t>DUUDY</t>
  </si>
  <si>
    <t>YUDHA</t>
  </si>
  <si>
    <t>0000400</t>
  </si>
  <si>
    <t>SOH_DATE</t>
  </si>
  <si>
    <t>MAV</t>
  </si>
  <si>
    <t>RSP</t>
  </si>
  <si>
    <t>STATUS</t>
  </si>
  <si>
    <t>STORE MANAGER</t>
  </si>
  <si>
    <t>INVENTORY CONTROL</t>
  </si>
  <si>
    <t>ADMIN STORE</t>
  </si>
  <si>
    <t>SCANNER</t>
  </si>
  <si>
    <t>USERNAME</t>
  </si>
  <si>
    <t>FULLNAME</t>
  </si>
  <si>
    <t>STOCK_TYPE_ID</t>
  </si>
  <si>
    <t>STOCK_TYPE_VALUE</t>
  </si>
  <si>
    <t>START_TIME</t>
  </si>
  <si>
    <t>END_TIME</t>
  </si>
  <si>
    <t>USER_CREATED</t>
  </si>
  <si>
    <t>DATE_CREATED</t>
  </si>
  <si>
    <t>DATE_MODIFIED</t>
  </si>
  <si>
    <t>RACK_ID</t>
  </si>
  <si>
    <t>SCHEDULE_NO</t>
  </si>
  <si>
    <t>SCHEDULE_DESC</t>
  </si>
  <si>
    <t>SCHEDULE_DATE</t>
  </si>
  <si>
    <t>SCHEDULE_ID</t>
  </si>
  <si>
    <t>RACK_CODE</t>
  </si>
  <si>
    <t>RACK_NAME</t>
  </si>
  <si>
    <t>ERP_QTY</t>
  </si>
  <si>
    <t>INPUT_TYPE</t>
  </si>
  <si>
    <t>SCAN_STATUS</t>
  </si>
  <si>
    <t>SCAN/MANUAL</t>
  </si>
  <si>
    <t>DRAFT/SYNCED</t>
  </si>
  <si>
    <t>USER_MODIFIED</t>
  </si>
  <si>
    <t>COUNT_QTY</t>
  </si>
  <si>
    <t>VARIANCE_QTY</t>
  </si>
  <si>
    <t>VARIANCE_PERCENTAGE</t>
  </si>
  <si>
    <t>VARIANCE_STATUS</t>
  </si>
  <si>
    <t>REMARK</t>
  </si>
  <si>
    <t>TR_STOCK_TAKE_RECONCILIATION</t>
  </si>
  <si>
    <t>new table</t>
  </si>
  <si>
    <t>old table (existing)</t>
  </si>
  <si>
    <t>PK</t>
  </si>
  <si>
    <t>FK</t>
  </si>
  <si>
    <t>TR_STOCK_TAKE_SCAN</t>
  </si>
  <si>
    <t>ROLE_ID</t>
  </si>
  <si>
    <t>MST_ROLE</t>
  </si>
  <si>
    <t>MST_USERS</t>
  </si>
  <si>
    <t>Keterangan</t>
  </si>
  <si>
    <t>Primary Key</t>
  </si>
  <si>
    <t>Foreign Key</t>
  </si>
  <si>
    <t>MST_RACK</t>
  </si>
  <si>
    <t>MST_STOCK_TYPE</t>
  </si>
  <si>
    <t>MST_SOH</t>
  </si>
  <si>
    <t>MasterData..MFPLU</t>
  </si>
  <si>
    <t>MasterData..MFBARCODE</t>
  </si>
  <si>
    <t>MasterData..MFLOCATION</t>
  </si>
  <si>
    <t>FPLU</t>
  </si>
  <si>
    <t>…</t>
  </si>
  <si>
    <t>FBARCODE</t>
  </si>
  <si>
    <t>FLOCCODE</t>
  </si>
  <si>
    <t>FLOCNAME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</si>
</sst>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quotePrefix="1"/>
    <xf numFmtId="22" fontId="0" fillId="0" borderId="0" xfId="0" applyNumberFormat="1"/>
    <xf numFmtId="0" fontId="0" fillId="4" borderId="0" xfId="0" applyFill="1"/>
    <xf numFmtId="0" fontId="0" fillId="0" borderId="0" xfId="0" applyFill="1"/>
    <xf numFmtId="0" fontId="0" fillId="5" borderId="0" xfId="0" applyFill="1"/>
    <xf numFmtId="0" fontId="3" fillId="0" borderId="0" xfId="0" applyFont="1" applyFill="1"/>
    <xf numFmtId="0" fontId="2" fillId="3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S44"/>
  <sheetViews>
    <sheetView tabSelected="1" zoomScale="90" zoomScaleNormal="90" workbookViewId="0">
      <selection activeCell="I17" sqref="I17"/>
    </sheetView>
  </sheetViews>
  <sheetFormatPr defaultRowHeight="14.5" x14ac:dyDescent="0.35"/>
  <cols>
    <col min="1" max="1" width="2.90625" bestFit="1" customWidth="1"/>
    <col min="2" max="2" width="19.26953125" bestFit="1" customWidth="1"/>
    <col min="3" max="3" width="7.1796875" style="6" customWidth="1"/>
    <col min="4" max="4" width="2.90625" bestFit="1" customWidth="1"/>
    <col min="5" max="5" width="22.81640625" bestFit="1" customWidth="1"/>
    <col min="6" max="6" width="7.26953125" style="6" customWidth="1"/>
    <col min="7" max="7" width="2.90625" bestFit="1" customWidth="1"/>
    <col min="8" max="8" width="23.36328125" bestFit="1" customWidth="1"/>
    <col min="9" max="9" width="7.81640625" style="6" customWidth="1"/>
    <col min="10" max="10" width="2.90625" bestFit="1" customWidth="1"/>
    <col min="11" max="11" width="30.26953125" bestFit="1" customWidth="1"/>
    <col min="12" max="12" width="9.08984375" style="6" customWidth="1"/>
    <col min="13" max="13" width="2.90625" bestFit="1" customWidth="1"/>
    <col min="14" max="14" width="30.26953125" bestFit="1" customWidth="1"/>
    <col min="15" max="15" width="2.90625" bestFit="1" customWidth="1"/>
    <col min="16" max="16" width="20.36328125" bestFit="1" customWidth="1"/>
    <col min="17" max="17" width="14.453125" bestFit="1" customWidth="1"/>
    <col min="18" max="18" width="2.90625" bestFit="1" customWidth="1"/>
    <col min="19" max="19" width="30.08984375" bestFit="1" customWidth="1"/>
    <col min="20" max="20" width="4.81640625" customWidth="1"/>
    <col min="21" max="21" width="13.81640625" bestFit="1" customWidth="1"/>
  </cols>
  <sheetData>
    <row r="3" spans="1:14" x14ac:dyDescent="0.35">
      <c r="B3" s="12" t="s">
        <v>95</v>
      </c>
      <c r="C3" s="10"/>
      <c r="D3" s="10"/>
      <c r="E3" s="12" t="s">
        <v>96</v>
      </c>
      <c r="F3" s="10"/>
      <c r="G3" s="10"/>
      <c r="H3" s="12" t="s">
        <v>97</v>
      </c>
    </row>
    <row r="4" spans="1:14" x14ac:dyDescent="0.35">
      <c r="A4" t="s">
        <v>83</v>
      </c>
      <c r="B4" s="6" t="s">
        <v>98</v>
      </c>
      <c r="E4" t="s">
        <v>100</v>
      </c>
      <c r="G4" t="s">
        <v>83</v>
      </c>
      <c r="H4" t="s">
        <v>101</v>
      </c>
    </row>
    <row r="5" spans="1:14" x14ac:dyDescent="0.35">
      <c r="B5" t="s">
        <v>99</v>
      </c>
      <c r="E5" s="6" t="s">
        <v>98</v>
      </c>
      <c r="H5" t="s">
        <v>102</v>
      </c>
    </row>
    <row r="6" spans="1:14" x14ac:dyDescent="0.35">
      <c r="E6" s="6" t="s">
        <v>99</v>
      </c>
      <c r="H6" t="s">
        <v>99</v>
      </c>
    </row>
    <row r="9" spans="1:14" x14ac:dyDescent="0.35">
      <c r="B9" s="9" t="s">
        <v>87</v>
      </c>
      <c r="C9" s="10"/>
      <c r="D9" s="11"/>
      <c r="E9" s="9" t="s">
        <v>88</v>
      </c>
      <c r="F9" s="10"/>
      <c r="G9" s="11"/>
      <c r="H9" s="9" t="s">
        <v>92</v>
      </c>
      <c r="I9" s="10"/>
      <c r="J9" s="11"/>
      <c r="K9" s="9" t="s">
        <v>93</v>
      </c>
      <c r="L9" s="10"/>
      <c r="M9" s="11"/>
      <c r="N9" s="9" t="s">
        <v>94</v>
      </c>
    </row>
    <row r="10" spans="1:14" s="6" customFormat="1" x14ac:dyDescent="0.35">
      <c r="A10" t="s">
        <v>83</v>
      </c>
      <c r="B10" s="6" t="s">
        <v>9</v>
      </c>
      <c r="D10" t="s">
        <v>83</v>
      </c>
      <c r="E10" s="6" t="s">
        <v>9</v>
      </c>
      <c r="G10" t="s">
        <v>83</v>
      </c>
      <c r="H10" s="6" t="s">
        <v>9</v>
      </c>
      <c r="J10" t="s">
        <v>83</v>
      </c>
      <c r="K10" s="6" t="s">
        <v>9</v>
      </c>
      <c r="M10" t="s">
        <v>83</v>
      </c>
      <c r="N10" s="6" t="s">
        <v>9</v>
      </c>
    </row>
    <row r="11" spans="1:14" x14ac:dyDescent="0.35">
      <c r="A11">
        <v>1</v>
      </c>
      <c r="B11" t="s">
        <v>50</v>
      </c>
      <c r="E11" t="s">
        <v>53</v>
      </c>
      <c r="H11" t="s">
        <v>67</v>
      </c>
      <c r="J11">
        <v>1</v>
      </c>
      <c r="K11" t="s">
        <v>22</v>
      </c>
      <c r="M11" t="s">
        <v>84</v>
      </c>
      <c r="N11" t="s">
        <v>66</v>
      </c>
    </row>
    <row r="12" spans="1:14" x14ac:dyDescent="0.35">
      <c r="A12">
        <v>2</v>
      </c>
      <c r="B12" t="s">
        <v>49</v>
      </c>
      <c r="E12" t="s">
        <v>54</v>
      </c>
      <c r="H12" t="s">
        <v>68</v>
      </c>
      <c r="J12">
        <v>2</v>
      </c>
      <c r="K12" t="s">
        <v>23</v>
      </c>
      <c r="M12" t="s">
        <v>84</v>
      </c>
      <c r="N12" t="s">
        <v>2</v>
      </c>
    </row>
    <row r="13" spans="1:14" x14ac:dyDescent="0.35">
      <c r="A13">
        <v>3</v>
      </c>
      <c r="B13" t="s">
        <v>51</v>
      </c>
      <c r="D13" t="s">
        <v>84</v>
      </c>
      <c r="E13" t="s">
        <v>86</v>
      </c>
      <c r="G13" t="s">
        <v>84</v>
      </c>
      <c r="H13" t="s">
        <v>2</v>
      </c>
      <c r="J13">
        <v>3</v>
      </c>
      <c r="K13" t="s">
        <v>24</v>
      </c>
      <c r="N13" t="s">
        <v>45</v>
      </c>
    </row>
    <row r="14" spans="1:14" x14ac:dyDescent="0.35">
      <c r="A14">
        <v>4</v>
      </c>
      <c r="B14" t="s">
        <v>52</v>
      </c>
      <c r="E14" t="s">
        <v>48</v>
      </c>
      <c r="H14" t="s">
        <v>48</v>
      </c>
      <c r="J14">
        <v>4</v>
      </c>
      <c r="K14" t="s">
        <v>25</v>
      </c>
      <c r="M14" t="s">
        <v>84</v>
      </c>
      <c r="N14" t="s">
        <v>0</v>
      </c>
    </row>
    <row r="15" spans="1:14" x14ac:dyDescent="0.35">
      <c r="N15" t="s">
        <v>1</v>
      </c>
    </row>
    <row r="16" spans="1:14" x14ac:dyDescent="0.35">
      <c r="N16" t="s">
        <v>69</v>
      </c>
    </row>
    <row r="17" spans="1:16" x14ac:dyDescent="0.35">
      <c r="A17" t="s">
        <v>89</v>
      </c>
      <c r="N17" t="s">
        <v>46</v>
      </c>
      <c r="P17" s="6"/>
    </row>
    <row r="18" spans="1:16" x14ac:dyDescent="0.35">
      <c r="A18" s="7"/>
      <c r="B18" t="s">
        <v>82</v>
      </c>
      <c r="N18" t="s">
        <v>47</v>
      </c>
    </row>
    <row r="19" spans="1:16" x14ac:dyDescent="0.35">
      <c r="A19" s="2"/>
      <c r="B19" t="s">
        <v>81</v>
      </c>
    </row>
    <row r="20" spans="1:16" x14ac:dyDescent="0.35">
      <c r="A20" t="s">
        <v>83</v>
      </c>
      <c r="B20" t="s">
        <v>90</v>
      </c>
    </row>
    <row r="21" spans="1:16" x14ac:dyDescent="0.35">
      <c r="A21" t="s">
        <v>84</v>
      </c>
      <c r="B21" t="s">
        <v>91</v>
      </c>
    </row>
    <row r="23" spans="1:16" x14ac:dyDescent="0.35">
      <c r="E23" s="9" t="s">
        <v>5</v>
      </c>
      <c r="F23" s="10"/>
      <c r="G23" s="11"/>
      <c r="H23" s="9" t="s">
        <v>85</v>
      </c>
      <c r="I23" s="10"/>
      <c r="J23" s="11"/>
      <c r="K23" s="9" t="s">
        <v>80</v>
      </c>
    </row>
    <row r="24" spans="1:16" x14ac:dyDescent="0.35">
      <c r="D24" t="s">
        <v>83</v>
      </c>
      <c r="E24" s="6" t="s">
        <v>9</v>
      </c>
      <c r="G24" t="s">
        <v>83</v>
      </c>
      <c r="H24" t="s">
        <v>9</v>
      </c>
      <c r="J24" t="s">
        <v>83</v>
      </c>
      <c r="K24" t="s">
        <v>9</v>
      </c>
    </row>
    <row r="25" spans="1:16" x14ac:dyDescent="0.35">
      <c r="E25" t="s">
        <v>63</v>
      </c>
      <c r="G25" t="s">
        <v>84</v>
      </c>
      <c r="H25" t="s">
        <v>66</v>
      </c>
      <c r="J25" t="s">
        <v>84</v>
      </c>
      <c r="K25" t="s">
        <v>66</v>
      </c>
    </row>
    <row r="26" spans="1:16" x14ac:dyDescent="0.35">
      <c r="E26" t="s">
        <v>64</v>
      </c>
      <c r="H26" t="s">
        <v>63</v>
      </c>
      <c r="K26" t="s">
        <v>63</v>
      </c>
    </row>
    <row r="27" spans="1:16" x14ac:dyDescent="0.35">
      <c r="E27" t="s">
        <v>2</v>
      </c>
      <c r="G27" t="s">
        <v>84</v>
      </c>
      <c r="H27" s="6" t="s">
        <v>62</v>
      </c>
      <c r="K27" t="s">
        <v>3</v>
      </c>
    </row>
    <row r="28" spans="1:16" x14ac:dyDescent="0.35">
      <c r="E28" t="s">
        <v>65</v>
      </c>
      <c r="H28" t="s">
        <v>67</v>
      </c>
      <c r="J28" t="s">
        <v>84</v>
      </c>
      <c r="K28" t="s">
        <v>0</v>
      </c>
    </row>
    <row r="29" spans="1:16" x14ac:dyDescent="0.35">
      <c r="E29" t="s">
        <v>57</v>
      </c>
      <c r="H29" t="s">
        <v>11</v>
      </c>
      <c r="K29" t="s">
        <v>1</v>
      </c>
    </row>
    <row r="30" spans="1:16" x14ac:dyDescent="0.35">
      <c r="E30" t="s">
        <v>58</v>
      </c>
      <c r="H30" t="s">
        <v>3</v>
      </c>
      <c r="K30" t="s">
        <v>69</v>
      </c>
    </row>
    <row r="31" spans="1:16" x14ac:dyDescent="0.35">
      <c r="D31" t="s">
        <v>84</v>
      </c>
      <c r="E31" t="s">
        <v>55</v>
      </c>
      <c r="G31" t="s">
        <v>84</v>
      </c>
      <c r="H31" t="s">
        <v>0</v>
      </c>
      <c r="K31" t="s">
        <v>75</v>
      </c>
    </row>
    <row r="32" spans="1:16" x14ac:dyDescent="0.35">
      <c r="E32" t="s">
        <v>56</v>
      </c>
      <c r="H32" t="s">
        <v>1</v>
      </c>
      <c r="K32" t="s">
        <v>76</v>
      </c>
    </row>
    <row r="33" spans="5:19" x14ac:dyDescent="0.35">
      <c r="E33" t="s">
        <v>48</v>
      </c>
      <c r="H33" t="s">
        <v>13</v>
      </c>
      <c r="K33" t="s">
        <v>77</v>
      </c>
    </row>
    <row r="34" spans="5:19" x14ac:dyDescent="0.35">
      <c r="E34" t="s">
        <v>59</v>
      </c>
      <c r="H34" t="s">
        <v>19</v>
      </c>
      <c r="K34" t="s">
        <v>78</v>
      </c>
    </row>
    <row r="35" spans="5:19" x14ac:dyDescent="0.35">
      <c r="E35" t="s">
        <v>60</v>
      </c>
      <c r="H35" t="s">
        <v>70</v>
      </c>
      <c r="I35" s="8" t="s">
        <v>72</v>
      </c>
      <c r="K35" t="s">
        <v>79</v>
      </c>
    </row>
    <row r="36" spans="5:19" x14ac:dyDescent="0.35">
      <c r="E36" t="s">
        <v>61</v>
      </c>
      <c r="H36" t="s">
        <v>71</v>
      </c>
      <c r="I36" s="8" t="s">
        <v>73</v>
      </c>
    </row>
    <row r="37" spans="5:19" x14ac:dyDescent="0.35">
      <c r="H37" t="s">
        <v>18</v>
      </c>
    </row>
    <row r="38" spans="5:19" x14ac:dyDescent="0.35">
      <c r="H38" t="s">
        <v>17</v>
      </c>
    </row>
    <row r="39" spans="5:19" x14ac:dyDescent="0.35">
      <c r="H39" t="s">
        <v>20</v>
      </c>
    </row>
    <row r="40" spans="5:19" x14ac:dyDescent="0.35">
      <c r="H40" t="s">
        <v>21</v>
      </c>
    </row>
    <row r="41" spans="5:19" x14ac:dyDescent="0.35">
      <c r="H41" t="s">
        <v>59</v>
      </c>
    </row>
    <row r="42" spans="5:19" x14ac:dyDescent="0.35">
      <c r="G42" s="6"/>
      <c r="H42" t="s">
        <v>60</v>
      </c>
      <c r="J42" s="6"/>
      <c r="R42" s="6"/>
      <c r="S42" s="6"/>
    </row>
    <row r="43" spans="5:19" x14ac:dyDescent="0.35">
      <c r="H43" t="s">
        <v>74</v>
      </c>
    </row>
    <row r="44" spans="5:19" x14ac:dyDescent="0.35">
      <c r="H44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FA5E8-1513-4BA0-A363-C64422DCA541}">
  <dimension ref="A4:Q23"/>
  <sheetViews>
    <sheetView topLeftCell="D7" workbookViewId="0">
      <selection activeCell="O15" sqref="O15:P19"/>
    </sheetView>
  </sheetViews>
  <sheetFormatPr defaultRowHeight="14.5" x14ac:dyDescent="0.35"/>
  <cols>
    <col min="1" max="1" width="9.08984375" bestFit="1" customWidth="1"/>
    <col min="2" max="2" width="14.36328125" bestFit="1" customWidth="1"/>
    <col min="3" max="3" width="18" customWidth="1"/>
    <col min="4" max="4" width="10" bestFit="1" customWidth="1"/>
    <col min="5" max="5" width="12" bestFit="1" customWidth="1"/>
    <col min="6" max="6" width="11.6328125" customWidth="1"/>
    <col min="7" max="8" width="14.6328125" bestFit="1" customWidth="1"/>
    <col min="9" max="9" width="10.1796875" bestFit="1" customWidth="1"/>
    <col min="10" max="12" width="14.6328125" bestFit="1" customWidth="1"/>
    <col min="13" max="14" width="11.81640625" bestFit="1" customWidth="1"/>
    <col min="15" max="15" width="14.6328125" bestFit="1" customWidth="1"/>
    <col min="16" max="16" width="14.453125" bestFit="1" customWidth="1"/>
  </cols>
  <sheetData>
    <row r="4" spans="1:17" x14ac:dyDescent="0.35">
      <c r="A4" s="1" t="s">
        <v>7</v>
      </c>
      <c r="B4" t="s">
        <v>27</v>
      </c>
      <c r="C4" t="s">
        <v>8</v>
      </c>
      <c r="D4" t="s">
        <v>2</v>
      </c>
      <c r="E4" t="s">
        <v>6</v>
      </c>
      <c r="F4" t="s">
        <v>28</v>
      </c>
      <c r="G4" t="s">
        <v>35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</row>
    <row r="5" spans="1:17" x14ac:dyDescent="0.35">
      <c r="A5" s="3" t="s">
        <v>29</v>
      </c>
      <c r="B5" t="s">
        <v>30</v>
      </c>
      <c r="C5" t="s">
        <v>31</v>
      </c>
      <c r="D5">
        <v>6168</v>
      </c>
      <c r="E5" s="3" t="s">
        <v>32</v>
      </c>
      <c r="F5" s="3">
        <v>1</v>
      </c>
      <c r="G5" s="3">
        <v>2</v>
      </c>
      <c r="H5" s="3"/>
      <c r="I5">
        <v>1</v>
      </c>
      <c r="J5" s="3"/>
      <c r="M5" t="s">
        <v>33</v>
      </c>
    </row>
    <row r="6" spans="1:17" x14ac:dyDescent="0.35">
      <c r="A6" s="3" t="s">
        <v>34</v>
      </c>
      <c r="B6" t="s">
        <v>30</v>
      </c>
      <c r="C6" t="s">
        <v>31</v>
      </c>
      <c r="D6">
        <v>6168</v>
      </c>
      <c r="E6" s="3" t="s">
        <v>32</v>
      </c>
      <c r="F6" s="3">
        <v>1</v>
      </c>
      <c r="G6" s="3">
        <v>5</v>
      </c>
      <c r="H6" s="3"/>
      <c r="I6">
        <v>5</v>
      </c>
      <c r="J6" s="3"/>
      <c r="M6" t="s">
        <v>33</v>
      </c>
    </row>
    <row r="9" spans="1:17" x14ac:dyDescent="0.35">
      <c r="A9">
        <v>1</v>
      </c>
      <c r="B9" t="s">
        <v>22</v>
      </c>
    </row>
    <row r="10" spans="1:17" x14ac:dyDescent="0.35">
      <c r="A10">
        <v>2</v>
      </c>
      <c r="B10" t="s">
        <v>23</v>
      </c>
    </row>
    <row r="11" spans="1:17" x14ac:dyDescent="0.35">
      <c r="A11">
        <v>3</v>
      </c>
      <c r="B11" t="s">
        <v>24</v>
      </c>
    </row>
    <row r="12" spans="1:17" x14ac:dyDescent="0.35">
      <c r="A12">
        <v>4</v>
      </c>
      <c r="B12" t="s">
        <v>25</v>
      </c>
    </row>
    <row r="15" spans="1:17" x14ac:dyDescent="0.35">
      <c r="A15" t="s">
        <v>9</v>
      </c>
      <c r="B15" s="1" t="s">
        <v>27</v>
      </c>
      <c r="C15" t="s">
        <v>4</v>
      </c>
      <c r="D15" t="s">
        <v>11</v>
      </c>
      <c r="E15" t="s">
        <v>3</v>
      </c>
      <c r="F15" t="s">
        <v>0</v>
      </c>
      <c r="G15" t="s">
        <v>13</v>
      </c>
      <c r="H15" t="s">
        <v>10</v>
      </c>
      <c r="I15" t="s">
        <v>12</v>
      </c>
      <c r="J15" t="s">
        <v>18</v>
      </c>
      <c r="K15" t="s">
        <v>17</v>
      </c>
      <c r="L15" s="5" t="s">
        <v>14</v>
      </c>
      <c r="M15" t="s">
        <v>15</v>
      </c>
      <c r="N15" t="s">
        <v>16</v>
      </c>
      <c r="O15" t="s">
        <v>19</v>
      </c>
      <c r="P15" t="s">
        <v>20</v>
      </c>
      <c r="Q15" t="s">
        <v>21</v>
      </c>
    </row>
    <row r="16" spans="1:17" x14ac:dyDescent="0.35">
      <c r="B16" t="s">
        <v>30</v>
      </c>
      <c r="C16" t="s">
        <v>36</v>
      </c>
      <c r="D16">
        <v>1</v>
      </c>
      <c r="E16">
        <v>67868687876</v>
      </c>
      <c r="F16" s="3" t="s">
        <v>44</v>
      </c>
      <c r="G16">
        <v>20</v>
      </c>
      <c r="H16" s="4">
        <f ca="1">NOW()</f>
        <v>46226.483341782405</v>
      </c>
      <c r="I16" t="s">
        <v>37</v>
      </c>
      <c r="J16" t="s">
        <v>41</v>
      </c>
      <c r="K16" s="4">
        <f t="shared" ref="K16:M19" ca="1" si="0">NOW()</f>
        <v>46226.483341782405</v>
      </c>
      <c r="L16">
        <v>19</v>
      </c>
      <c r="M16" s="4">
        <f t="shared" ca="1" si="0"/>
        <v>46226.483341782405</v>
      </c>
      <c r="N16" t="s">
        <v>42</v>
      </c>
      <c r="O16">
        <v>19</v>
      </c>
      <c r="P16" s="4">
        <f t="shared" ref="P16:P19" ca="1" si="1">NOW()</f>
        <v>46226.483341782405</v>
      </c>
      <c r="Q16" t="s">
        <v>43</v>
      </c>
    </row>
    <row r="17" spans="2:17" x14ac:dyDescent="0.35">
      <c r="B17" t="s">
        <v>30</v>
      </c>
      <c r="C17" t="s">
        <v>36</v>
      </c>
      <c r="D17">
        <v>2</v>
      </c>
      <c r="E17">
        <v>4534534</v>
      </c>
      <c r="G17">
        <v>5</v>
      </c>
      <c r="H17" s="4">
        <f t="shared" ref="H17:H23" ca="1" si="2">NOW()</f>
        <v>46226.483341782405</v>
      </c>
      <c r="I17" t="s">
        <v>37</v>
      </c>
      <c r="J17" t="s">
        <v>41</v>
      </c>
      <c r="K17" s="4">
        <f t="shared" ca="1" si="0"/>
        <v>46226.483341782405</v>
      </c>
      <c r="O17">
        <v>5</v>
      </c>
      <c r="P17" s="4">
        <f t="shared" ca="1" si="1"/>
        <v>46226.483341782405</v>
      </c>
      <c r="Q17" t="s">
        <v>43</v>
      </c>
    </row>
    <row r="18" spans="2:17" x14ac:dyDescent="0.35">
      <c r="B18" t="s">
        <v>30</v>
      </c>
      <c r="C18" t="s">
        <v>36</v>
      </c>
      <c r="D18">
        <v>3</v>
      </c>
      <c r="E18">
        <v>11232</v>
      </c>
      <c r="G18">
        <v>1</v>
      </c>
      <c r="H18" s="4">
        <f t="shared" ca="1" si="2"/>
        <v>46226.483341782405</v>
      </c>
      <c r="I18" t="s">
        <v>37</v>
      </c>
      <c r="J18" t="s">
        <v>41</v>
      </c>
      <c r="K18" s="4">
        <f t="shared" ca="1" si="0"/>
        <v>46226.483341782405</v>
      </c>
      <c r="O18">
        <v>1</v>
      </c>
      <c r="P18" s="4">
        <f t="shared" ca="1" si="1"/>
        <v>46226.483341782405</v>
      </c>
      <c r="Q18" t="s">
        <v>43</v>
      </c>
    </row>
    <row r="19" spans="2:17" x14ac:dyDescent="0.35">
      <c r="B19" t="s">
        <v>30</v>
      </c>
      <c r="C19" t="s">
        <v>36</v>
      </c>
      <c r="D19">
        <v>4</v>
      </c>
      <c r="E19">
        <v>8667876</v>
      </c>
      <c r="G19">
        <v>3</v>
      </c>
      <c r="H19" s="4">
        <f t="shared" ca="1" si="2"/>
        <v>46226.483341782405</v>
      </c>
      <c r="I19" t="s">
        <v>37</v>
      </c>
      <c r="J19" t="s">
        <v>41</v>
      </c>
      <c r="K19" s="4">
        <f t="shared" ca="1" si="0"/>
        <v>46226.483341782405</v>
      </c>
      <c r="O19">
        <v>3</v>
      </c>
      <c r="P19" s="4">
        <f t="shared" ca="1" si="1"/>
        <v>46226.483341782405</v>
      </c>
      <c r="Q19" t="s">
        <v>43</v>
      </c>
    </row>
    <row r="20" spans="2:17" x14ac:dyDescent="0.35">
      <c r="B20" t="s">
        <v>30</v>
      </c>
      <c r="C20" t="s">
        <v>38</v>
      </c>
      <c r="D20">
        <v>10</v>
      </c>
      <c r="E20">
        <v>67868687876</v>
      </c>
      <c r="G20">
        <v>20</v>
      </c>
      <c r="H20" s="4">
        <f ca="1">NOW()</f>
        <v>46226.483341782405</v>
      </c>
      <c r="I20" t="s">
        <v>37</v>
      </c>
    </row>
    <row r="21" spans="2:17" x14ac:dyDescent="0.35">
      <c r="B21" t="s">
        <v>30</v>
      </c>
      <c r="C21" t="s">
        <v>38</v>
      </c>
      <c r="D21">
        <v>2</v>
      </c>
      <c r="E21">
        <v>4534534</v>
      </c>
      <c r="G21">
        <v>5</v>
      </c>
      <c r="H21" s="4">
        <f t="shared" ca="1" si="2"/>
        <v>46226.483341782405</v>
      </c>
      <c r="I21" t="s">
        <v>37</v>
      </c>
    </row>
    <row r="22" spans="2:17" x14ac:dyDescent="0.35">
      <c r="B22" t="s">
        <v>30</v>
      </c>
      <c r="C22" t="s">
        <v>39</v>
      </c>
      <c r="D22">
        <v>1</v>
      </c>
      <c r="E22">
        <v>11232</v>
      </c>
      <c r="G22">
        <v>1</v>
      </c>
      <c r="H22" s="4">
        <f t="shared" ca="1" si="2"/>
        <v>46226.483341782405</v>
      </c>
      <c r="I22" t="s">
        <v>37</v>
      </c>
    </row>
    <row r="23" spans="2:17" x14ac:dyDescent="0.35">
      <c r="B23" t="s">
        <v>30</v>
      </c>
      <c r="C23" t="s">
        <v>40</v>
      </c>
      <c r="D23">
        <v>1</v>
      </c>
      <c r="E23">
        <v>8667876</v>
      </c>
      <c r="G23">
        <v>3</v>
      </c>
      <c r="H23" s="4">
        <f t="shared" ca="1" si="2"/>
        <v>46226.483341782405</v>
      </c>
      <c r="I23" t="s">
        <v>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dayaxs</dc:creator>
  <cp:lastModifiedBy>Yudha Permana</cp:lastModifiedBy>
  <dcterms:created xsi:type="dcterms:W3CDTF">2026-07-15T15:35:53Z</dcterms:created>
  <dcterms:modified xsi:type="dcterms:W3CDTF">2026-07-23T04:36:10Z</dcterms:modified>
</cp:coreProperties>
</file>